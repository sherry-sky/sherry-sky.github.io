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.tascon\Downloads\"/>
    </mc:Choice>
  </mc:AlternateContent>
  <xr:revisionPtr revIDLastSave="0" documentId="13_ncr:1_{EA59F50E-8F5C-4CB6-834D-D7F37FCB112F}" xr6:coauthVersionLast="47" xr6:coauthVersionMax="47" xr10:uidLastSave="{00000000-0000-0000-0000-000000000000}"/>
  <bookViews>
    <workbookView xWindow="-110" yWindow="-110" windowWidth="19420" windowHeight="10300" xr2:uid="{C299D462-7BE6-423A-8260-0186EA614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7" i="1" s="1"/>
  <c r="F7" i="1" s="1"/>
  <c r="E5" i="1"/>
  <c r="F5" i="1" s="1"/>
  <c r="E6" i="1"/>
  <c r="F6" i="1" s="1"/>
  <c r="E11" i="1"/>
  <c r="F11" i="1" s="1"/>
  <c r="E12" i="1"/>
  <c r="F12" i="1" s="1"/>
  <c r="E4" i="1"/>
  <c r="F4" i="1" s="1"/>
  <c r="D5" i="1"/>
  <c r="D6" i="1"/>
  <c r="D7" i="1"/>
  <c r="D8" i="1"/>
  <c r="D9" i="1"/>
  <c r="D10" i="1"/>
  <c r="D11" i="1"/>
  <c r="D12" i="1"/>
  <c r="D4" i="1"/>
  <c r="E10" i="1" l="1"/>
  <c r="F10" i="1" s="1"/>
  <c r="E9" i="1"/>
  <c r="F9" i="1" s="1"/>
  <c r="E8" i="1"/>
  <c r="F8" i="1" s="1"/>
</calcChain>
</file>

<file path=xl/sharedStrings.xml><?xml version="1.0" encoding="utf-8"?>
<sst xmlns="http://schemas.openxmlformats.org/spreadsheetml/2006/main" count="5" uniqueCount="5">
  <si>
    <t>pH</t>
  </si>
  <si>
    <t>[H+]</t>
  </si>
  <si>
    <t>dissociation fraction (HA)</t>
  </si>
  <si>
    <t>Acidity constant</t>
  </si>
  <si>
    <t>Dissociation fraction 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</si>
</sst>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1" fontId="0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1" fontId="0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HA fraction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Sheet1!$C$4:$C$12</c:f>
              <c:numCache>
                <c:formatCode>General</c:formatCode>
                <c:ptCount val="9"/>
                <c:pt idx="0">
                  <c:v>2</c:v>
                </c:pt>
                <c:pt idx="1">
                  <c:v>2.5</c:v>
                </c:pt>
                <c:pt idx="2">
                  <c:v>3.5</c:v>
                </c:pt>
                <c:pt idx="3">
                  <c:v>4</c:v>
                </c:pt>
                <c:pt idx="4">
                  <c:v>4.76</c:v>
                </c:pt>
                <c:pt idx="5">
                  <c:v>5.76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Sheet1!$E$4:$E$12</c:f>
              <c:numCache>
                <c:formatCode>0.00E+00</c:formatCode>
                <c:ptCount val="9"/>
                <c:pt idx="0">
                  <c:v>0.99825305714998747</c:v>
                </c:pt>
                <c:pt idx="1">
                  <c:v>0.99449647054911583</c:v>
                </c:pt>
                <c:pt idx="2">
                  <c:v>0.94756204972433411</c:v>
                </c:pt>
                <c:pt idx="3">
                  <c:v>0.85106382978723405</c:v>
                </c:pt>
                <c:pt idx="4">
                  <c:v>0.49825116572740191</c:v>
                </c:pt>
                <c:pt idx="5">
                  <c:v>9.0332613598554837E-2</c:v>
                </c:pt>
                <c:pt idx="6">
                  <c:v>5.4054054054054043E-2</c:v>
                </c:pt>
                <c:pt idx="7">
                  <c:v>5.6818181818181811E-3</c:v>
                </c:pt>
                <c:pt idx="8">
                  <c:v>5.7110222729868636E-4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63-42FD-9C4D-35B4269C8984}"/>
            </c:ext>
          </c:extLst>
        </c:ser>
        <c:ser>
          <c:idx val="1"/>
          <c:order val="1"/>
          <c:tx>
            <c:v>A- fraction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Sheet1!$C$4:$C$12</c:f>
              <c:numCache>
                <c:formatCode>General</c:formatCode>
                <c:ptCount val="9"/>
                <c:pt idx="0">
                  <c:v>2</c:v>
                </c:pt>
                <c:pt idx="1">
                  <c:v>2.5</c:v>
                </c:pt>
                <c:pt idx="2">
                  <c:v>3.5</c:v>
                </c:pt>
                <c:pt idx="3">
                  <c:v>4</c:v>
                </c:pt>
                <c:pt idx="4">
                  <c:v>4.76</c:v>
                </c:pt>
                <c:pt idx="5">
                  <c:v>5.76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Sheet1!$F$4:$F$12</c:f>
              <c:numCache>
                <c:formatCode>0.00E+00</c:formatCode>
                <c:ptCount val="9"/>
                <c:pt idx="0">
                  <c:v>1.7469428500125339E-3</c:v>
                </c:pt>
                <c:pt idx="1">
                  <c:v>5.5035294508841703E-3</c:v>
                </c:pt>
                <c:pt idx="2">
                  <c:v>5.243795027566589E-2</c:v>
                </c:pt>
                <c:pt idx="3">
                  <c:v>0.14893617021276595</c:v>
                </c:pt>
                <c:pt idx="4">
                  <c:v>0.50174883427259809</c:v>
                </c:pt>
                <c:pt idx="5">
                  <c:v>0.90966738640144518</c:v>
                </c:pt>
                <c:pt idx="6">
                  <c:v>0.94594594594594594</c:v>
                </c:pt>
                <c:pt idx="7">
                  <c:v>0.99431818181818177</c:v>
                </c:pt>
                <c:pt idx="8">
                  <c:v>0.99942889777270127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63-42FD-9C4D-35B4269C8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238287"/>
        <c:axId val="347236207"/>
      </c:scatterChart>
      <c:valAx>
        <c:axId val="347238287"/>
        <c:scaling>
          <c:orientation val="minMax"/>
          <c:max val="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236207"/>
        <c:crosses val="autoZero"/>
        <c:crossBetween val="midCat"/>
      </c:valAx>
      <c:valAx>
        <c:axId val="34723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Dissociation</a:t>
                </a:r>
                <a:r>
                  <a:rPr lang="en-US" baseline="0"/>
                  <a:t> fraction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23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396874</xdr:colOff>
      <xdr:row>2</xdr:row>
      <xdr:rowOff>15874</xdr:rowOff>
    </xdr:from>
    <xdr:to>
      <xdr:col>14</xdr:col>
      <xdr:colOff>469899</xdr:colOff>
      <xdr:row>18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396EB5-7FB3-463B-9452-A46C01E40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52E3-8FFB-475C-BA1C-3C7BCAFA135B}">
  <dimension ref="C1:F12"/>
  <sheetViews>
    <sheetView tabSelected="1" workbookViewId="0">
      <selection activeCell="E16" sqref="E16"/>
    </sheetView>
  </sheetViews>
  <sheetFormatPr defaultRowHeight="14.5" x14ac:dyDescent="0.35"/>
  <cols>
    <col min="3" max="3" width="14.08984375" bestFit="1" customWidth="1"/>
    <col min="4" max="4" width="10.36328125" bestFit="1" customWidth="1"/>
    <col min="5" max="5" width="22" bestFit="1" customWidth="1"/>
    <col min="6" max="6" width="20.1796875" bestFit="1" customWidth="1"/>
  </cols>
  <sheetData>
    <row r="1" spans="3:6" x14ac:dyDescent="0.35">
      <c r="C1" t="s">
        <v>3</v>
      </c>
      <c r="D1">
        <f>1.75*10^(-5)</f>
        <v>1.7500000000000002E-5</v>
      </c>
    </row>
    <row r="3" spans="3:6" x14ac:dyDescent="0.35">
      <c r="C3" s="2" t="s">
        <v>0</v>
      </c>
      <c r="D3" s="2" t="s">
        <v>1</v>
      </c>
      <c r="E3" s="3" t="s">
        <v>2</v>
      </c>
      <c r="F3" s="5" t="s">
        <v>4</v>
      </c>
    </row>
    <row r="4" spans="3:6" x14ac:dyDescent="0.35">
      <c r="C4" s="2">
        <v>2</v>
      </c>
      <c r="D4" s="1">
        <f>10^(-C4)</f>
        <v>0.01</v>
      </c>
      <c r="E4" s="4">
        <f>D4/(D4+$D$1)</f>
        <v>0.99825305714998747</v>
      </c>
      <c r="F4" s="6">
        <f>1-E4</f>
        <v>1.7469428500125339E-3</v>
      </c>
    </row>
    <row r="5" spans="3:6" x14ac:dyDescent="0.35">
      <c r="C5" s="2">
        <v>2.5</v>
      </c>
      <c r="D5" s="1">
        <f t="shared" ref="D5:D12" si="0">10^(-C5)</f>
        <v>3.1622776601683764E-3</v>
      </c>
      <c r="E5" s="4">
        <f t="shared" ref="E5:E12" si="1">D5/(D5+$D$1)</f>
        <v>0.99449647054911583</v>
      </c>
      <c r="F5" s="6">
        <f t="shared" ref="F5:F12" si="2">1-E5</f>
        <v>5.5035294508841703E-3</v>
      </c>
    </row>
    <row r="6" spans="3:6" x14ac:dyDescent="0.35">
      <c r="C6" s="2">
        <v>3.5</v>
      </c>
      <c r="D6" s="1">
        <f t="shared" si="0"/>
        <v>3.1622776601683783E-4</v>
      </c>
      <c r="E6" s="4">
        <f t="shared" si="1"/>
        <v>0.94756204972433411</v>
      </c>
      <c r="F6" s="6">
        <f t="shared" si="2"/>
        <v>5.243795027566589E-2</v>
      </c>
    </row>
    <row r="7" spans="3:6" x14ac:dyDescent="0.35">
      <c r="C7" s="2">
        <v>4</v>
      </c>
      <c r="D7" s="1">
        <f t="shared" si="0"/>
        <v>1E-4</v>
      </c>
      <c r="E7" s="4">
        <f t="shared" si="1"/>
        <v>0.85106382978723405</v>
      </c>
      <c r="F7" s="6">
        <f t="shared" si="2"/>
        <v>0.14893617021276595</v>
      </c>
    </row>
    <row r="8" spans="3:6" x14ac:dyDescent="0.35">
      <c r="C8" s="2">
        <v>4.76</v>
      </c>
      <c r="D8" s="1">
        <f t="shared" si="0"/>
        <v>1.7378008287493744E-5</v>
      </c>
      <c r="E8" s="4">
        <f t="shared" si="1"/>
        <v>0.49825116572740191</v>
      </c>
      <c r="F8" s="6">
        <f t="shared" si="2"/>
        <v>0.50174883427259809</v>
      </c>
    </row>
    <row r="9" spans="3:6" x14ac:dyDescent="0.35">
      <c r="C9" s="2">
        <v>5.76</v>
      </c>
      <c r="D9" s="1">
        <f t="shared" si="0"/>
        <v>1.7378008287493753E-6</v>
      </c>
      <c r="E9" s="4">
        <f t="shared" si="1"/>
        <v>9.0332613598554837E-2</v>
      </c>
      <c r="F9" s="6">
        <f t="shared" si="2"/>
        <v>0.90966738640144518</v>
      </c>
    </row>
    <row r="10" spans="3:6" x14ac:dyDescent="0.35">
      <c r="C10" s="2">
        <v>6</v>
      </c>
      <c r="D10" s="1">
        <f t="shared" si="0"/>
        <v>9.9999999999999995E-7</v>
      </c>
      <c r="E10" s="4">
        <f t="shared" si="1"/>
        <v>5.4054054054054043E-2</v>
      </c>
      <c r="F10" s="6">
        <f t="shared" si="2"/>
        <v>0.94594594594594594</v>
      </c>
    </row>
    <row r="11" spans="3:6" x14ac:dyDescent="0.35">
      <c r="C11" s="2">
        <v>7</v>
      </c>
      <c r="D11" s="1">
        <f t="shared" si="0"/>
        <v>9.9999999999999995E-8</v>
      </c>
      <c r="E11" s="4">
        <f t="shared" si="1"/>
        <v>5.6818181818181811E-3</v>
      </c>
      <c r="F11" s="6">
        <f t="shared" si="2"/>
        <v>0.99431818181818177</v>
      </c>
    </row>
    <row r="12" spans="3:6" x14ac:dyDescent="0.35">
      <c r="C12" s="2">
        <v>8</v>
      </c>
      <c r="D12" s="1">
        <f t="shared" si="0"/>
        <v>1E-8</v>
      </c>
      <c r="E12" s="4">
        <f t="shared" si="1"/>
        <v>5.7110222729868636E-4</v>
      </c>
      <c r="F12" s="6">
        <f t="shared" si="2"/>
        <v>0.99942889777270127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TASCON</dc:creator>
  <cp:lastModifiedBy>Marcos TASCON</cp:lastModifiedBy>
  <dcterms:created xsi:type="dcterms:W3CDTF">2024-04-17T06:23:39Z</dcterms:created>
  <dcterms:modified xsi:type="dcterms:W3CDTF">2024-04-17T07:15:13Z</dcterms:modified>
</cp:coreProperties>
</file>