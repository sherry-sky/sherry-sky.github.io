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tascon\Desktop\"/>
    </mc:Choice>
  </mc:AlternateContent>
  <xr:revisionPtr revIDLastSave="0" documentId="8_{F568C3D4-F782-494F-BBA6-BDA1580A6018}" xr6:coauthVersionLast="47" xr6:coauthVersionMax="47" xr10:uidLastSave="{00000000-0000-0000-0000-000000000000}"/>
  <bookViews>
    <workbookView xWindow="-110" yWindow="-110" windowWidth="19420" windowHeight="10300" activeTab="2" xr2:uid="{5CF46478-17D1-476D-92FB-E7BB5586E8A1}"/>
  </bookViews>
  <sheets>
    <sheet name="Exercise 1" sheetId="1" r:id="rId1"/>
    <sheet name="Exercise 2" sheetId="2" r:id="rId2"/>
    <sheet name="Exercis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C10" i="3"/>
  <c r="D10" i="3"/>
  <c r="E10" i="3"/>
  <c r="A10" i="3"/>
  <c r="F10" i="3" l="1"/>
  <c r="D24" i="2" l="1"/>
  <c r="D23" i="2"/>
  <c r="D22" i="2"/>
  <c r="D25" i="2"/>
  <c r="D26" i="2"/>
  <c r="C6" i="1"/>
</calcChain>
</file>

<file path=xl/sharedStrings.xml><?xml version="1.0" encoding="utf-8"?>
<sst xmlns="http://schemas.openxmlformats.org/spreadsheetml/2006/main" count="20" uniqueCount="16">
  <si>
    <t>pH</t>
  </si>
  <si>
    <t>Vadd</t>
  </si>
  <si>
    <t>V HCl</t>
  </si>
  <si>
    <t>dpH/dV</t>
  </si>
  <si>
    <t>v added</t>
  </si>
  <si>
    <t>C0</t>
  </si>
  <si>
    <t>c</t>
  </si>
  <si>
    <t>kw</t>
  </si>
  <si>
    <t>Ka</t>
  </si>
  <si>
    <r>
      <t>[H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</t>
    </r>
  </si>
  <si>
    <t>c+C0/C0*C</t>
  </si>
  <si>
    <t>kw/[H] - [H]</t>
  </si>
  <si>
    <t>[H]/Ka</t>
  </si>
  <si>
    <t>Titration error</t>
  </si>
  <si>
    <t>[H+]</t>
  </si>
  <si>
    <t xml:space="preserve">Convert pH to proton conc.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</si>
</sst>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/>
    </xf>
    <xf numFmtId="1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1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11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1'!$C$3:$C$9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49.5</c:v>
                </c:pt>
                <c:pt idx="4">
                  <c:v>50</c:v>
                </c:pt>
                <c:pt idx="5">
                  <c:v>50.5</c:v>
                </c:pt>
                <c:pt idx="6">
                  <c:v>60</c:v>
                </c:pt>
              </c:numCache>
            </c:numRef>
          </c:xVal>
          <c:yVal>
            <c:numRef>
              <c:f>'Exercise 1'!$B$3:$B$9</c:f>
              <c:numCache>
                <c:formatCode>General</c:formatCode>
                <c:ptCount val="7"/>
                <c:pt idx="0">
                  <c:v>3.03</c:v>
                </c:pt>
                <c:pt idx="1">
                  <c:v>4.16</c:v>
                </c:pt>
                <c:pt idx="2">
                  <c:v>4.76</c:v>
                </c:pt>
                <c:pt idx="3">
                  <c:v>6.76</c:v>
                </c:pt>
                <c:pt idx="4">
                  <c:v>8.6199999999999992</c:v>
                </c:pt>
                <c:pt idx="5">
                  <c:v>10.52</c:v>
                </c:pt>
                <c:pt idx="6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79-4287-AD5B-18C4409F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092096"/>
        <c:axId val="391099584"/>
      </c:scatterChart>
      <c:valAx>
        <c:axId val="3910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r>
                  <a:rPr lang="en-US" baseline="0"/>
                  <a:t> added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99584"/>
        <c:crosses val="autoZero"/>
        <c:crossBetween val="midCat"/>
      </c:valAx>
      <c:valAx>
        <c:axId val="3910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2'!$B$2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'Exercise 2'!$A$3:$A$32</c:f>
              <c:numCache>
                <c:formatCode>0.00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'Exercise 2'!$B$3:$B$32</c:f>
              <c:numCache>
                <c:formatCode>0.00</c:formatCode>
                <c:ptCount val="30"/>
                <c:pt idx="0">
                  <c:v>11.959</c:v>
                </c:pt>
                <c:pt idx="1">
                  <c:v>11.946</c:v>
                </c:pt>
                <c:pt idx="2">
                  <c:v>11.622999999999999</c:v>
                </c:pt>
                <c:pt idx="3">
                  <c:v>11.423</c:v>
                </c:pt>
                <c:pt idx="4">
                  <c:v>11.273</c:v>
                </c:pt>
                <c:pt idx="5">
                  <c:v>11.15</c:v>
                </c:pt>
                <c:pt idx="6">
                  <c:v>11.042999999999999</c:v>
                </c:pt>
                <c:pt idx="7">
                  <c:v>10.946</c:v>
                </c:pt>
                <c:pt idx="8">
                  <c:v>10.856</c:v>
                </c:pt>
                <c:pt idx="9">
                  <c:v>10.77</c:v>
                </c:pt>
                <c:pt idx="10">
                  <c:v>10.686</c:v>
                </c:pt>
                <c:pt idx="11">
                  <c:v>10.603999999999999</c:v>
                </c:pt>
                <c:pt idx="12">
                  <c:v>10.52</c:v>
                </c:pt>
                <c:pt idx="13">
                  <c:v>10.433999999999999</c:v>
                </c:pt>
                <c:pt idx="14">
                  <c:v>10.34</c:v>
                </c:pt>
                <c:pt idx="15">
                  <c:v>10.247</c:v>
                </c:pt>
                <c:pt idx="16">
                  <c:v>10.14</c:v>
                </c:pt>
                <c:pt idx="17">
                  <c:v>10.016999999999999</c:v>
                </c:pt>
                <c:pt idx="18">
                  <c:v>9.8670000000000009</c:v>
                </c:pt>
                <c:pt idx="19">
                  <c:v>9.6669999999999998</c:v>
                </c:pt>
                <c:pt idx="20">
                  <c:v>9.3439999999999994</c:v>
                </c:pt>
                <c:pt idx="21">
                  <c:v>6.0869999999999997</c:v>
                </c:pt>
                <c:pt idx="22">
                  <c:v>2.56</c:v>
                </c:pt>
                <c:pt idx="23">
                  <c:v>2.3860000000000001</c:v>
                </c:pt>
                <c:pt idx="24">
                  <c:v>2.2669999999999999</c:v>
                </c:pt>
                <c:pt idx="25">
                  <c:v>2.1760000000000002</c:v>
                </c:pt>
                <c:pt idx="26">
                  <c:v>2.1030000000000002</c:v>
                </c:pt>
                <c:pt idx="27">
                  <c:v>2.0409999999999999</c:v>
                </c:pt>
                <c:pt idx="28">
                  <c:v>1.9890000000000001</c:v>
                </c:pt>
                <c:pt idx="29">
                  <c:v>1.9430000000000001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4-479D-9BB3-AD5ADCA9F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11120"/>
        <c:axId val="501000720"/>
      </c:scatterChart>
      <c:valAx>
        <c:axId val="5010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0720"/>
        <c:crosses val="autoZero"/>
        <c:crossBetween val="midCat"/>
      </c:valAx>
      <c:valAx>
        <c:axId val="5010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1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 curve within 19-23</a:t>
            </a:r>
            <a:r>
              <a:rPr lang="en-US" baseline="0"/>
              <a:t> mL added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2'!$B$2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'Exercise 2'!$A$3:$A$32</c:f>
              <c:numCache>
                <c:formatCode>0.00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'Exercise 2'!$B$3:$B$32</c:f>
              <c:numCache>
                <c:formatCode>0.00</c:formatCode>
                <c:ptCount val="30"/>
                <c:pt idx="0">
                  <c:v>11.959</c:v>
                </c:pt>
                <c:pt idx="1">
                  <c:v>11.946</c:v>
                </c:pt>
                <c:pt idx="2">
                  <c:v>11.622999999999999</c:v>
                </c:pt>
                <c:pt idx="3">
                  <c:v>11.423</c:v>
                </c:pt>
                <c:pt idx="4">
                  <c:v>11.273</c:v>
                </c:pt>
                <c:pt idx="5">
                  <c:v>11.15</c:v>
                </c:pt>
                <c:pt idx="6">
                  <c:v>11.042999999999999</c:v>
                </c:pt>
                <c:pt idx="7">
                  <c:v>10.946</c:v>
                </c:pt>
                <c:pt idx="8">
                  <c:v>10.856</c:v>
                </c:pt>
                <c:pt idx="9">
                  <c:v>10.77</c:v>
                </c:pt>
                <c:pt idx="10">
                  <c:v>10.686</c:v>
                </c:pt>
                <c:pt idx="11">
                  <c:v>10.603999999999999</c:v>
                </c:pt>
                <c:pt idx="12">
                  <c:v>10.52</c:v>
                </c:pt>
                <c:pt idx="13">
                  <c:v>10.433999999999999</c:v>
                </c:pt>
                <c:pt idx="14">
                  <c:v>10.34</c:v>
                </c:pt>
                <c:pt idx="15">
                  <c:v>10.247</c:v>
                </c:pt>
                <c:pt idx="16">
                  <c:v>10.14</c:v>
                </c:pt>
                <c:pt idx="17">
                  <c:v>10.016999999999999</c:v>
                </c:pt>
                <c:pt idx="18">
                  <c:v>9.8670000000000009</c:v>
                </c:pt>
                <c:pt idx="19">
                  <c:v>9.6669999999999998</c:v>
                </c:pt>
                <c:pt idx="20">
                  <c:v>9.3439999999999994</c:v>
                </c:pt>
                <c:pt idx="21">
                  <c:v>6.0869999999999997</c:v>
                </c:pt>
                <c:pt idx="22">
                  <c:v>2.56</c:v>
                </c:pt>
                <c:pt idx="23">
                  <c:v>2.3860000000000001</c:v>
                </c:pt>
                <c:pt idx="24">
                  <c:v>2.2669999999999999</c:v>
                </c:pt>
                <c:pt idx="25">
                  <c:v>2.1760000000000002</c:v>
                </c:pt>
                <c:pt idx="26">
                  <c:v>2.1030000000000002</c:v>
                </c:pt>
                <c:pt idx="27">
                  <c:v>2.0409999999999999</c:v>
                </c:pt>
                <c:pt idx="28">
                  <c:v>1.9890000000000001</c:v>
                </c:pt>
                <c:pt idx="29">
                  <c:v>1.9430000000000001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7E-4C31-9978-A8EEB4CAB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11120"/>
        <c:axId val="501000720"/>
      </c:scatterChart>
      <c:valAx>
        <c:axId val="501011120"/>
        <c:scaling>
          <c:orientation val="minMax"/>
          <c:max val="23"/>
          <c:min val="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0720"/>
        <c:crosses val="autoZero"/>
        <c:crossBetween val="midCat"/>
      </c:valAx>
      <c:valAx>
        <c:axId val="5010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1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dpH/dV in the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'Exercise 2'!$C$22:$C$29</c:f>
              <c:numCache>
                <c:formatCode>General</c:formatCode>
                <c:ptCount val="8"/>
                <c:pt idx="0">
                  <c:v>19.5</c:v>
                </c:pt>
                <c:pt idx="1">
                  <c:v>20.5</c:v>
                </c:pt>
                <c:pt idx="2">
                  <c:v>21.5</c:v>
                </c:pt>
                <c:pt idx="3">
                  <c:v>22.5</c:v>
                </c:pt>
                <c:pt idx="4">
                  <c:v>23.5</c:v>
                </c:pt>
              </c:numCache>
            </c:numRef>
          </c:xVal>
          <c:yVal>
            <c:numRef>
              <c:f>'Exercise 2'!$D$22:$D$29</c:f>
              <c:numCache>
                <c:formatCode>General</c:formatCode>
                <c:ptCount val="8"/>
                <c:pt idx="0">
                  <c:v>0.3230000000000004</c:v>
                </c:pt>
                <c:pt idx="1">
                  <c:v>3.2569999999999997</c:v>
                </c:pt>
                <c:pt idx="2">
                  <c:v>3.5269999999999997</c:v>
                </c:pt>
                <c:pt idx="3">
                  <c:v>0.17399999999999993</c:v>
                </c:pt>
                <c:pt idx="4">
                  <c:v>0.11900000000000022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E-4631-99EE-8DCF1CE5F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8624"/>
        <c:axId val="501009040"/>
      </c:scatterChart>
      <c:valAx>
        <c:axId val="501008624"/>
        <c:scaling>
          <c:orientation val="minMax"/>
          <c:max val="23.5"/>
          <c:min val="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9040"/>
        <c:crosses val="autoZero"/>
        <c:crossBetween val="midCat"/>
      </c:valAx>
      <c:valAx>
        <c:axId val="5010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dpH/dV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  <a:r>
              <a:rPr lang="en-US" baseline="0"/>
              <a:t> vs Volume added close to 1/2*Ve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585301837270344E-2"/>
                  <c:y val="-0.48533209390492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'Exercise 2'!$A$37:$A$41</c:f>
              <c:numCache>
                <c:formatCode>0.00</c:formatCode>
                <c:ptCount val="5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</c:numCache>
            </c:numRef>
          </c:xVal>
          <c:yVal>
            <c:numRef>
              <c:f>'Exercise 2'!$B$37:$B$41</c:f>
              <c:numCache>
                <c:formatCode>0.00</c:formatCode>
                <c:ptCount val="5"/>
                <c:pt idx="0">
                  <c:v>10.856</c:v>
                </c:pt>
                <c:pt idx="1">
                  <c:v>10.77</c:v>
                </c:pt>
                <c:pt idx="2">
                  <c:v>10.686</c:v>
                </c:pt>
                <c:pt idx="3">
                  <c:v>10.603999999999999</c:v>
                </c:pt>
                <c:pt idx="4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3-4AA6-AF49-3F856F3C7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573808"/>
        <c:axId val="499570064"/>
      </c:scatterChart>
      <c:valAx>
        <c:axId val="499573808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0064"/>
        <c:crosses val="autoZero"/>
        <c:crossBetween val="midCat"/>
      </c:valAx>
      <c:valAx>
        <c:axId val="4995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</xdr:row>
      <xdr:rowOff>130175</xdr:rowOff>
    </xdr:from>
    <xdr:to>
      <xdr:col>11</xdr:col>
      <xdr:colOff>104775</xdr:colOff>
      <xdr:row>16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651CB-BB2F-44E0-AD6F-7AB09B8DF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263525</xdr:colOff>
      <xdr:row>2</xdr:row>
      <xdr:rowOff>22225</xdr:rowOff>
    </xdr:from>
    <xdr:to>
      <xdr:col>12</xdr:col>
      <xdr:colOff>568325</xdr:colOff>
      <xdr:row>17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496CE-0D50-4059-8190-80C48D5AC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279400</xdr:colOff>
      <xdr:row>2</xdr:row>
      <xdr:rowOff>38100</xdr:rowOff>
    </xdr:from>
    <xdr:to>
      <xdr:col>20</xdr:col>
      <xdr:colOff>584200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A2203-48F2-479F-A068-5F268B20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269875</xdr:colOff>
      <xdr:row>18</xdr:row>
      <xdr:rowOff>130175</xdr:rowOff>
    </xdr:from>
    <xdr:to>
      <xdr:col>12</xdr:col>
      <xdr:colOff>574675</xdr:colOff>
      <xdr:row>33</xdr:row>
      <xdr:rowOff>111125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047601-0131-4F40-9568-6835EB139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441325</xdr:colOff>
      <xdr:row>34</xdr:row>
      <xdr:rowOff>149225</xdr:rowOff>
    </xdr:from>
    <xdr:to>
      <xdr:col>11</xdr:col>
      <xdr:colOff>136525</xdr:colOff>
      <xdr:row>49</xdr:row>
      <xdr:rowOff>130175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81C6B0-B098-4A2C-B4E0-B9720C8E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13</xdr:row>
      <xdr:rowOff>19050</xdr:rowOff>
    </xdr:from>
    <xdr:to>
      <xdr:col>11</xdr:col>
      <xdr:colOff>177800</xdr:colOff>
      <xdr:row>19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9CC8A-E1B5-44E9-B266-2BCCA828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438400"/>
          <a:ext cx="7150100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3075-D6D8-4133-AC2C-2D400A15BB0E}">
  <dimension ref="B2:C9"/>
  <sheetViews>
    <sheetView workbookViewId="0">
      <selection activeCell="M7" sqref="M7"/>
    </sheetView>
  </sheetViews>
  <sheetFormatPr defaultRowHeight="14.5" x14ac:dyDescent="0.35"/>
  <sheetData>
    <row r="2" spans="2:3" x14ac:dyDescent="0.35">
      <c r="B2" t="s">
        <v>0</v>
      </c>
      <c r="C2" t="s">
        <v>1</v>
      </c>
    </row>
    <row r="3" spans="2:3" x14ac:dyDescent="0.35">
      <c r="B3">
        <v>3.03</v>
      </c>
      <c r="C3">
        <v>0</v>
      </c>
    </row>
    <row r="4" spans="2:3" x14ac:dyDescent="0.35">
      <c r="B4">
        <v>4.16</v>
      </c>
      <c r="C4">
        <v>10</v>
      </c>
    </row>
    <row r="5" spans="2:3" x14ac:dyDescent="0.35">
      <c r="B5">
        <v>4.76</v>
      </c>
      <c r="C5">
        <v>25</v>
      </c>
    </row>
    <row r="6" spans="2:3" x14ac:dyDescent="0.35">
      <c r="B6">
        <v>6.76</v>
      </c>
      <c r="C6">
        <f>50*0.99</f>
        <v>49.5</v>
      </c>
    </row>
    <row r="7" spans="2:3" x14ac:dyDescent="0.35">
      <c r="B7">
        <v>8.6199999999999992</v>
      </c>
      <c r="C7">
        <v>50</v>
      </c>
    </row>
    <row r="8" spans="2:3" x14ac:dyDescent="0.35">
      <c r="B8">
        <v>10.52</v>
      </c>
      <c r="C8">
        <v>50.5</v>
      </c>
    </row>
    <row r="9" spans="2:3" x14ac:dyDescent="0.35">
      <c r="B9">
        <v>11.8</v>
      </c>
      <c r="C9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0D8B-BA4B-44F6-B05F-9D90D6FEC73D}">
  <dimension ref="A2:D41"/>
  <sheetViews>
    <sheetView topLeftCell="J1" workbookViewId="0">
      <selection activeCell="W7" sqref="W7"/>
    </sheetView>
  </sheetViews>
  <sheetFormatPr defaultRowHeight="14.5" x14ac:dyDescent="0.35"/>
  <sheetData>
    <row r="2" spans="1:3" x14ac:dyDescent="0.35">
      <c r="A2" t="s">
        <v>2</v>
      </c>
      <c r="B2" t="s">
        <v>0</v>
      </c>
      <c r="C2" t="s">
        <v>3</v>
      </c>
    </row>
    <row r="3" spans="1:3" x14ac:dyDescent="0.35">
      <c r="A3" s="1">
        <v>0</v>
      </c>
      <c r="B3" s="1">
        <v>11.959</v>
      </c>
    </row>
    <row r="4" spans="1:3" x14ac:dyDescent="0.35">
      <c r="A4" s="1">
        <v>1</v>
      </c>
      <c r="B4" s="1">
        <v>11.946</v>
      </c>
    </row>
    <row r="5" spans="1:3" x14ac:dyDescent="0.35">
      <c r="A5" s="1">
        <v>2</v>
      </c>
      <c r="B5" s="1">
        <v>11.622999999999999</v>
      </c>
    </row>
    <row r="6" spans="1:3" x14ac:dyDescent="0.35">
      <c r="A6" s="1">
        <v>3</v>
      </c>
      <c r="B6" s="1">
        <v>11.423</v>
      </c>
    </row>
    <row r="7" spans="1:3" x14ac:dyDescent="0.35">
      <c r="A7" s="1">
        <v>4</v>
      </c>
      <c r="B7" s="1">
        <v>11.273</v>
      </c>
    </row>
    <row r="8" spans="1:3" x14ac:dyDescent="0.35">
      <c r="A8" s="1">
        <v>5</v>
      </c>
      <c r="B8" s="1">
        <v>11.15</v>
      </c>
    </row>
    <row r="9" spans="1:3" x14ac:dyDescent="0.35">
      <c r="A9" s="1">
        <v>6</v>
      </c>
      <c r="B9" s="1">
        <v>11.042999999999999</v>
      </c>
    </row>
    <row r="10" spans="1:3" x14ac:dyDescent="0.35">
      <c r="A10" s="1">
        <v>7</v>
      </c>
      <c r="B10" s="1">
        <v>10.946</v>
      </c>
    </row>
    <row r="11" spans="1:3" x14ac:dyDescent="0.35">
      <c r="A11" s="1">
        <v>8</v>
      </c>
      <c r="B11" s="1">
        <v>10.856</v>
      </c>
    </row>
    <row r="12" spans="1:3" x14ac:dyDescent="0.35">
      <c r="A12" s="1">
        <v>9</v>
      </c>
      <c r="B12" s="1">
        <v>10.77</v>
      </c>
    </row>
    <row r="13" spans="1:3" x14ac:dyDescent="0.35">
      <c r="A13" s="1">
        <v>10</v>
      </c>
      <c r="B13" s="1">
        <v>10.686</v>
      </c>
    </row>
    <row r="14" spans="1:3" x14ac:dyDescent="0.35">
      <c r="A14" s="1">
        <v>11</v>
      </c>
      <c r="B14" s="1">
        <v>10.603999999999999</v>
      </c>
    </row>
    <row r="15" spans="1:3" x14ac:dyDescent="0.35">
      <c r="A15" s="1">
        <v>12</v>
      </c>
      <c r="B15" s="1">
        <v>10.52</v>
      </c>
    </row>
    <row r="16" spans="1:3" x14ac:dyDescent="0.35">
      <c r="A16" s="1">
        <v>13</v>
      </c>
      <c r="B16" s="1">
        <v>10.433999999999999</v>
      </c>
    </row>
    <row r="17" spans="1:4" x14ac:dyDescent="0.35">
      <c r="A17" s="1">
        <v>14</v>
      </c>
      <c r="B17" s="1">
        <v>10.34</v>
      </c>
    </row>
    <row r="18" spans="1:4" x14ac:dyDescent="0.35">
      <c r="A18" s="1">
        <v>15</v>
      </c>
      <c r="B18" s="1">
        <v>10.247</v>
      </c>
    </row>
    <row r="19" spans="1:4" x14ac:dyDescent="0.35">
      <c r="A19" s="1">
        <v>16</v>
      </c>
      <c r="B19" s="1">
        <v>10.14</v>
      </c>
    </row>
    <row r="20" spans="1:4" x14ac:dyDescent="0.35">
      <c r="A20" s="1">
        <v>17</v>
      </c>
      <c r="B20" s="1">
        <v>10.016999999999999</v>
      </c>
    </row>
    <row r="21" spans="1:4" x14ac:dyDescent="0.35">
      <c r="A21" s="1">
        <v>18</v>
      </c>
      <c r="B21" s="1">
        <v>9.8670000000000009</v>
      </c>
    </row>
    <row r="22" spans="1:4" x14ac:dyDescent="0.35">
      <c r="A22" s="1">
        <v>19</v>
      </c>
      <c r="B22" s="1">
        <v>9.6669999999999998</v>
      </c>
      <c r="C22">
        <v>19.5</v>
      </c>
      <c r="D22">
        <f>(B22-B23)/(A23-A22)</f>
        <v>0.3230000000000004</v>
      </c>
    </row>
    <row r="23" spans="1:4" x14ac:dyDescent="0.35">
      <c r="A23" s="1">
        <v>20</v>
      </c>
      <c r="B23" s="1">
        <v>9.3439999999999994</v>
      </c>
      <c r="C23">
        <v>20.5</v>
      </c>
      <c r="D23">
        <f>(B23-B24)/(A24-A23)</f>
        <v>3.2569999999999997</v>
      </c>
    </row>
    <row r="24" spans="1:4" x14ac:dyDescent="0.35">
      <c r="A24" s="1">
        <v>21</v>
      </c>
      <c r="B24" s="1">
        <v>6.0869999999999997</v>
      </c>
      <c r="C24">
        <v>21.5</v>
      </c>
      <c r="D24">
        <f>(B24-B25)/(A25-A24)</f>
        <v>3.5269999999999997</v>
      </c>
    </row>
    <row r="25" spans="1:4" x14ac:dyDescent="0.35">
      <c r="A25" s="1">
        <v>22</v>
      </c>
      <c r="B25" s="1">
        <v>2.56</v>
      </c>
      <c r="C25">
        <v>22.5</v>
      </c>
      <c r="D25">
        <f>(B25-B26)/(A26-A25)</f>
        <v>0.17399999999999993</v>
      </c>
    </row>
    <row r="26" spans="1:4" x14ac:dyDescent="0.35">
      <c r="A26" s="1">
        <v>23</v>
      </c>
      <c r="B26" s="1">
        <v>2.3860000000000001</v>
      </c>
      <c r="C26">
        <v>23.5</v>
      </c>
      <c r="D26">
        <f>(B26-B27)/(A27-A26)</f>
        <v>0.11900000000000022</v>
      </c>
    </row>
    <row r="27" spans="1:4" x14ac:dyDescent="0.35">
      <c r="A27" s="1">
        <v>24</v>
      </c>
      <c r="B27" s="1">
        <v>2.2669999999999999</v>
      </c>
    </row>
    <row r="28" spans="1:4" x14ac:dyDescent="0.35">
      <c r="A28" s="1">
        <v>25</v>
      </c>
      <c r="B28" s="1">
        <v>2.1760000000000002</v>
      </c>
    </row>
    <row r="29" spans="1:4" x14ac:dyDescent="0.35">
      <c r="A29" s="1">
        <v>26</v>
      </c>
      <c r="B29" s="1">
        <v>2.1030000000000002</v>
      </c>
    </row>
    <row r="30" spans="1:4" x14ac:dyDescent="0.35">
      <c r="A30" s="1">
        <v>27</v>
      </c>
      <c r="B30" s="1">
        <v>2.0409999999999999</v>
      </c>
    </row>
    <row r="31" spans="1:4" x14ac:dyDescent="0.35">
      <c r="A31" s="1">
        <v>28</v>
      </c>
      <c r="B31" s="1">
        <v>1.9890000000000001</v>
      </c>
    </row>
    <row r="32" spans="1:4" x14ac:dyDescent="0.35">
      <c r="A32" s="1">
        <v>29</v>
      </c>
      <c r="B32" s="1">
        <v>1.9430000000000001</v>
      </c>
    </row>
    <row r="36" spans="1:2" x14ac:dyDescent="0.35">
      <c r="A36" t="s">
        <v>4</v>
      </c>
      <c r="B36" t="s">
        <v>0</v>
      </c>
    </row>
    <row r="37" spans="1:2" x14ac:dyDescent="0.35">
      <c r="A37" s="1">
        <v>8</v>
      </c>
      <c r="B37" s="1">
        <v>10.856</v>
      </c>
    </row>
    <row r="38" spans="1:2" x14ac:dyDescent="0.35">
      <c r="A38" s="1">
        <v>9</v>
      </c>
      <c r="B38" s="1">
        <v>10.77</v>
      </c>
    </row>
    <row r="39" spans="1:2" x14ac:dyDescent="0.35">
      <c r="A39" s="1">
        <v>10</v>
      </c>
      <c r="B39" s="1">
        <v>10.686</v>
      </c>
    </row>
    <row r="40" spans="1:2" x14ac:dyDescent="0.35">
      <c r="A40" s="1">
        <v>11</v>
      </c>
      <c r="B40" s="1">
        <v>10.603999999999999</v>
      </c>
    </row>
    <row r="41" spans="1:2" x14ac:dyDescent="0.35">
      <c r="A41" s="1">
        <v>12</v>
      </c>
      <c r="B41" s="1">
        <v>10.52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2262-891B-4E1B-A1D4-1E5545498040}">
  <dimension ref="A1:G10"/>
  <sheetViews>
    <sheetView tabSelected="1" workbookViewId="0">
      <selection activeCell="I10" sqref="I10"/>
    </sheetView>
  </sheetViews>
  <sheetFormatPr defaultRowHeight="14.5" x14ac:dyDescent="0.35"/>
  <cols>
    <col min="2" max="2" width="10.81640625" bestFit="1" customWidth="1"/>
    <col min="6" max="6" width="12.6328125" bestFit="1" customWidth="1"/>
  </cols>
  <sheetData>
    <row r="1" spans="1:7" x14ac:dyDescent="0.35">
      <c r="F1" t="s">
        <v>15</v>
      </c>
    </row>
    <row r="2" spans="1:7" x14ac:dyDescent="0.35">
      <c r="F2" t="s">
        <v>0</v>
      </c>
      <c r="G2">
        <v>8.5</v>
      </c>
    </row>
    <row r="3" spans="1:7" x14ac:dyDescent="0.35">
      <c r="B3" s="2" t="s">
        <v>5</v>
      </c>
      <c r="C3" s="2">
        <v>0.1</v>
      </c>
      <c r="F3" t="s">
        <v>14</v>
      </c>
      <c r="G3">
        <f>10^(-G2)</f>
        <v>3.1622776601683779E-9</v>
      </c>
    </row>
    <row r="4" spans="1:7" x14ac:dyDescent="0.35">
      <c r="B4" s="2" t="s">
        <v>6</v>
      </c>
      <c r="C4" s="2">
        <v>0.1</v>
      </c>
    </row>
    <row r="5" spans="1:7" x14ac:dyDescent="0.35">
      <c r="B5" s="2" t="s">
        <v>7</v>
      </c>
      <c r="C5" s="3">
        <v>1E-14</v>
      </c>
    </row>
    <row r="6" spans="1:7" x14ac:dyDescent="0.35">
      <c r="B6" s="2" t="s">
        <v>8</v>
      </c>
      <c r="C6" s="3">
        <v>5.0000000000000002E-5</v>
      </c>
    </row>
    <row r="9" spans="1:7" ht="16.5" x14ac:dyDescent="0.35">
      <c r="A9" s="4" t="s">
        <v>0</v>
      </c>
      <c r="B9" s="10" t="s">
        <v>9</v>
      </c>
      <c r="C9" s="5" t="s">
        <v>10</v>
      </c>
      <c r="D9" s="5" t="s">
        <v>11</v>
      </c>
      <c r="E9" s="5" t="s">
        <v>12</v>
      </c>
      <c r="F9" s="8" t="s">
        <v>13</v>
      </c>
    </row>
    <row r="10" spans="1:7" x14ac:dyDescent="0.35">
      <c r="A10" s="4">
        <f>-LOG(B10)</f>
        <v>8.5</v>
      </c>
      <c r="B10" s="11">
        <v>3.1622776601683779E-9</v>
      </c>
      <c r="C10" s="6">
        <f>($C$4+$C$3)/($C$4*$C$3)</f>
        <v>19.999999999999996</v>
      </c>
      <c r="D10" s="7">
        <f>($C$5/B10)-B10</f>
        <v>3.1591153825082126E-6</v>
      </c>
      <c r="E10" s="7">
        <f>B10/$C$6</f>
        <v>6.324555320336755E-5</v>
      </c>
      <c r="F10" s="9">
        <f>(C10*D10)-E10</f>
        <v>-6.3245553203302362E-8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0621A2B6CEBFD48BDAC0C87EF1AF18D" ma:contentTypeVersion="2" ma:contentTypeDescription="新建文档。" ma:contentTypeScope="" ma:versionID="ce0126b4bf5eb74d2263248bb12db6b3">
  <xsd:schema xmlns:xsd="http://www.w3.org/2001/XMLSchema" xmlns:xs="http://www.w3.org/2001/XMLSchema" xmlns:p="http://schemas.microsoft.com/office/2006/metadata/properties" xmlns:ns3="d6cbc912-1f8f-48c7-a6cb-e97a2d6b3232" targetNamespace="http://schemas.microsoft.com/office/2006/metadata/properties" ma:root="true" ma:fieldsID="12c498ecb80a5610c9a96b2d81bf9dae" ns3:_="">
    <xsd:import namespace="d6cbc912-1f8f-48c7-a6cb-e97a2d6b323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bc912-1f8f-48c7-a6cb-e97a2d6b323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cbc912-1f8f-48c7-a6cb-e97a2d6b3232" xsi:nil="true"/>
  </documentManagement>
</p:properties>
</file>

<file path=customXml/itemProps1.xml><?xml version="1.0" encoding="utf-8"?>
<ds:datastoreItem xmlns:ds="http://schemas.openxmlformats.org/officeDocument/2006/customXml" ds:itemID="{EFF36BA7-5A7F-40CA-9912-8866DD05F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61B08-84BB-4C4C-B3B8-D4E22E79B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bc912-1f8f-48c7-a6cb-e97a2d6b3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99E95-E98A-4246-9F23-BF48A7E423A2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6cbc912-1f8f-48c7-a6cb-e97a2d6b32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</vt:lpstr>
      <vt:lpstr>Exercise 2</vt:lpstr>
      <vt:lpstr>Exercise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TASCON</dc:creator>
  <cp:lastModifiedBy>Marcos TASCON</cp:lastModifiedBy>
  <dcterms:created xsi:type="dcterms:W3CDTF">2024-05-08T06:13:33Z</dcterms:created>
  <dcterms:modified xsi:type="dcterms:W3CDTF">2024-05-08T07:31:38Z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0x01010050621A2B6CEBFD48BDAC0C87EF1AF18D</vt:lpwstr>
  </property>
</Properties>
</file>